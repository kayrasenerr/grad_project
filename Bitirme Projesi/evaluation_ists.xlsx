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ra\Desktop\Okul\4-2\proje\Bitirme Projesi\"/>
    </mc:Choice>
  </mc:AlternateContent>
  <xr:revisionPtr revIDLastSave="0" documentId="13_ncr:1_{F5FF4C32-9AF9-4583-8DA6-DE6A8974AAC8}" xr6:coauthVersionLast="47" xr6:coauthVersionMax="47" xr10:uidLastSave="{00000000-0000-0000-0000-000000000000}"/>
  <bookViews>
    <workbookView xWindow="-108" yWindow="-108" windowWidth="23256" windowHeight="12456" xr2:uid="{1E1041C3-89AC-4BBA-BA1A-2AD304957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6" i="1"/>
  <c r="I17" i="1"/>
  <c r="C16" i="1"/>
  <c r="C13" i="1"/>
  <c r="C12" i="1"/>
  <c r="B12" i="1"/>
  <c r="G13" i="1"/>
  <c r="H17" i="1"/>
  <c r="J13" i="1"/>
  <c r="E16" i="1"/>
  <c r="F16" i="1"/>
  <c r="G16" i="1"/>
  <c r="B16" i="1"/>
  <c r="D16" i="1"/>
  <c r="B17" i="1"/>
  <c r="C17" i="1"/>
  <c r="D17" i="1"/>
  <c r="E17" i="1"/>
  <c r="F17" i="1"/>
  <c r="G17" i="1"/>
  <c r="C14" i="1"/>
  <c r="D14" i="1"/>
  <c r="E14" i="1"/>
  <c r="F14" i="1"/>
  <c r="J14" i="1"/>
  <c r="B14" i="1"/>
  <c r="D13" i="1"/>
  <c r="E13" i="1"/>
  <c r="F13" i="1"/>
  <c r="B13" i="1"/>
  <c r="D12" i="1"/>
  <c r="E12" i="1"/>
  <c r="F12" i="1"/>
  <c r="G12" i="1"/>
  <c r="J16" i="1" l="1"/>
  <c r="J12" i="1"/>
  <c r="J17" i="1"/>
  <c r="H16" i="1"/>
  <c r="H13" i="1"/>
  <c r="H12" i="1"/>
  <c r="H14" i="1"/>
  <c r="G14" i="1"/>
</calcChain>
</file>

<file path=xl/sharedStrings.xml><?xml version="1.0" encoding="utf-8"?>
<sst xmlns="http://schemas.openxmlformats.org/spreadsheetml/2006/main" count="33" uniqueCount="28">
  <si>
    <t>PeakCount</t>
  </si>
  <si>
    <t>SectVar</t>
  </si>
  <si>
    <t>ZCR</t>
  </si>
  <si>
    <t>NormSpecCent</t>
  </si>
  <si>
    <t>AC1thPeakAmp</t>
  </si>
  <si>
    <t>Coef of Var</t>
  </si>
  <si>
    <t>STD</t>
  </si>
  <si>
    <t>Mean</t>
  </si>
  <si>
    <t>Max</t>
  </si>
  <si>
    <t>Min</t>
  </si>
  <si>
    <t>TransOscInt</t>
  </si>
  <si>
    <t>0/90</t>
  </si>
  <si>
    <t>78/90</t>
  </si>
  <si>
    <t>90/90</t>
  </si>
  <si>
    <t>90/90 wn</t>
  </si>
  <si>
    <t>58/90 wn</t>
  </si>
  <si>
    <t>EnergyRatio (DWT)</t>
  </si>
  <si>
    <t>Declining Exponential Growth-1</t>
  </si>
  <si>
    <t>Declining Exponential Growth-2</t>
  </si>
  <si>
    <t>Growth and Decline</t>
  </si>
  <si>
    <t xml:space="preserve">Negative Exponential Growth </t>
  </si>
  <si>
    <t>Oscillation - Low Frequency</t>
  </si>
  <si>
    <t>Oscillation - High Frequency</t>
  </si>
  <si>
    <t>Positive Exponential Growth</t>
  </si>
  <si>
    <t>S-Shaped Growth</t>
  </si>
  <si>
    <t>Labels</t>
  </si>
  <si>
    <t>DomFreq (FFT)</t>
  </si>
  <si>
    <t>SpecEntropy (FFT)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</si>
</sst>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3" borderId="1" xfId="0" applyFont="1" applyFill="1" applyBorder="1"/>
    <xf numFmtId="164" fontId="0" fillId="0" borderId="1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3" borderId="5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3EAAF-5CE1-4055-B99F-56CDECDFFAA7}" name="Table1" displayName="Table1" ref="A1:J12" totalsRowCount="1" headerRowDxfId="30" totalsRowDxfId="29" totalsRowBorderDxfId="28">
  <autoFilter ref="A1:J11" xr:uid="{0443EAAF-5CE1-4055-B99F-56CDECDFFAA7}"/>
  <tableColumns count="10">
    <tableColumn id="1" xr3:uid="{7B58D8B9-22DB-416C-B54F-401F4018A832}" name="Labels" totalsRowLabel="Coef of Var" dataDxfId="27" totalsRowDxfId="18"/>
    <tableColumn id="2" xr3:uid="{B048CCD5-8DDE-40E7-B6DA-1DF049480AEC}" name="PeakCount" totalsRowFunction="custom" dataDxfId="26" totalsRowDxfId="17">
      <totalsRowFormula>_xlfn.STDEV.P(Table1[PeakCount])/AVERAGE(Table1[PeakCount])</totalsRowFormula>
    </tableColumn>
    <tableColumn id="3" xr3:uid="{C1614CEE-C345-4803-BCBE-6041B7908DF7}" name="DomFreq (FFT)" totalsRowFunction="custom" dataDxfId="25" totalsRowDxfId="16">
      <totalsRowFormula>_xlfn.STDEV.P(Table1[DomFreq (FFT)])/AVERAGE(Table1[DomFreq (FFT)])</totalsRowFormula>
    </tableColumn>
    <tableColumn id="4" xr3:uid="{195AC1D4-0E7B-467B-815B-02C4BDFAB046}" name="EnergyRatio (DWT)" totalsRowFunction="custom" dataDxfId="24" totalsRowDxfId="15">
      <totalsRowFormula>_xlfn.STDEV.P(Table1[EnergyRatio (DWT)])/AVERAGE(Table1[EnergyRatio (DWT)])</totalsRowFormula>
    </tableColumn>
    <tableColumn id="5" xr3:uid="{A95FC6B9-A728-4677-975C-D9271748BEDF}" name="SpecEntropy (FFT)" totalsRowFunction="custom" dataDxfId="23" totalsRowDxfId="14">
      <totalsRowFormula>_xlfn.STDEV.P(Table1[SpecEntropy (FFT)])/AVERAGE(Table1[SpecEntropy (FFT)])</totalsRowFormula>
    </tableColumn>
    <tableColumn id="6" xr3:uid="{54C92127-70B3-49AB-A389-624AC69DA222}" name="AC1thPeakAmp" totalsRowFunction="custom" dataDxfId="22" totalsRowDxfId="13">
      <totalsRowFormula>_xlfn.STDEV.P(Table1[AC1thPeakAmp])/AVERAGE(Table1[AC1thPeakAmp])</totalsRowFormula>
    </tableColumn>
    <tableColumn id="7" xr3:uid="{DA1D98B0-9895-459B-81CB-60382965D1AE}" name="SectVar" totalsRowFunction="custom" dataDxfId="21" totalsRowDxfId="12">
      <totalsRowFormula>_xlfn.STDEV.P(Table1[SectVar])/AVERAGE(Table1[SectVar])</totalsRowFormula>
    </tableColumn>
    <tableColumn id="8" xr3:uid="{27353694-65DE-415E-9648-747810D23845}" name="TransOscInt" totalsRowFunction="custom" dataDxfId="20" totalsRowDxfId="11">
      <totalsRowFormula>_xlfn.STDEV.P(Table1[TransOscInt])/AVERAGE(Table1[TransOscInt])</totalsRowFormula>
    </tableColumn>
    <tableColumn id="9" xr3:uid="{9F5486C8-2123-45D5-AC4E-A3809113B81B}" name="ZCR" totalsRowFunction="custom" dataDxfId="8" totalsRowDxfId="9">
      <totalsRowFormula>_xlfn.STDEV.P(Table1[ZCR])/AVERAGE(Table1[ZCR])</totalsRowFormula>
    </tableColumn>
    <tableColumn id="10" xr3:uid="{32D6BCD8-968B-4F2C-989D-7BF718221478}" name="NormSpecCent" totalsRowFunction="custom" dataDxfId="19" totalsRowDxfId="10">
      <totalsRowFormula>_xlfn.STDEV.P(Table1[NormSpecCent])/AVERAGE(Table1[NormSpecCent])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6F9B-3AA1-4134-A180-B1B15721205E}">
  <dimension ref="A1:J17"/>
  <sheetViews>
    <sheetView tabSelected="1" workbookViewId="0">
      <selection activeCell="L9" sqref="L9"/>
    </sheetView>
  </sheetViews>
  <sheetFormatPr defaultRowHeight="14.4" x14ac:dyDescent="0.3"/>
  <cols>
    <col min="1" max="1" width="27.33203125" bestFit="1" customWidth="1"/>
    <col min="2" max="2" width="12.21875" bestFit="1" customWidth="1"/>
    <col min="3" max="3" width="15.77734375" bestFit="1" customWidth="1"/>
    <col min="4" max="4" width="18.5546875" bestFit="1" customWidth="1"/>
    <col min="5" max="5" width="18.6640625" bestFit="1" customWidth="1"/>
    <col min="6" max="6" width="16.33203125" bestFit="1" customWidth="1"/>
    <col min="7" max="7" width="12" bestFit="1" customWidth="1"/>
    <col min="8" max="8" width="12" customWidth="1"/>
    <col min="9" max="9" width="12" bestFit="1" customWidth="1"/>
    <col min="10" max="10" width="16.109375" bestFit="1" customWidth="1"/>
  </cols>
  <sheetData>
    <row r="1" spans="1:10" x14ac:dyDescent="0.3">
      <c r="A1" s="1" t="s">
        <v>25</v>
      </c>
      <c r="B1" s="2" t="s">
        <v>0</v>
      </c>
      <c r="C1" s="2" t="s">
        <v>26</v>
      </c>
      <c r="D1" s="2" t="s">
        <v>16</v>
      </c>
      <c r="E1" s="2" t="s">
        <v>27</v>
      </c>
      <c r="F1" s="2" t="s">
        <v>4</v>
      </c>
      <c r="G1" s="2" t="s">
        <v>1</v>
      </c>
      <c r="H1" s="2" t="s">
        <v>10</v>
      </c>
      <c r="I1" s="2" t="s">
        <v>2</v>
      </c>
      <c r="J1" s="2" t="s">
        <v>3</v>
      </c>
    </row>
    <row r="2" spans="1:10" x14ac:dyDescent="0.3">
      <c r="A2" s="2" t="s">
        <v>17</v>
      </c>
      <c r="B2" s="9">
        <v>3.3882352899999999</v>
      </c>
      <c r="C2" s="9">
        <v>1</v>
      </c>
      <c r="D2" s="9">
        <v>0.36322803999999997</v>
      </c>
      <c r="E2" s="9">
        <v>0.13741797</v>
      </c>
      <c r="F2" s="9">
        <v>0.20104366000000001</v>
      </c>
      <c r="G2" s="9">
        <v>8.8085730000000001E-2</v>
      </c>
      <c r="H2" s="9">
        <v>9.7058820000000004E-2</v>
      </c>
      <c r="I2" s="9">
        <v>1.6806720000000001E-2</v>
      </c>
      <c r="J2" s="9">
        <v>2.5929299999999999E-2</v>
      </c>
    </row>
    <row r="3" spans="1:10" x14ac:dyDescent="0.3">
      <c r="A3" s="2" t="s">
        <v>18</v>
      </c>
      <c r="B3" s="9">
        <v>3.28703704</v>
      </c>
      <c r="C3" s="9">
        <v>1</v>
      </c>
      <c r="D3" s="9">
        <v>0.25646445000000001</v>
      </c>
      <c r="E3" s="9">
        <v>0.18294785</v>
      </c>
      <c r="F3" s="9">
        <v>0.23481779999999999</v>
      </c>
      <c r="G3" s="9">
        <v>5.2064739999999998E-2</v>
      </c>
      <c r="H3" s="9">
        <v>0.10493827</v>
      </c>
      <c r="I3" s="9">
        <v>1.6806720000000001E-2</v>
      </c>
      <c r="J3" s="9">
        <v>1.446831E-2</v>
      </c>
    </row>
    <row r="4" spans="1:10" x14ac:dyDescent="0.3">
      <c r="A4" s="2" t="s">
        <v>19</v>
      </c>
      <c r="B4" s="10">
        <v>4.0627225774999998</v>
      </c>
      <c r="C4" s="10">
        <v>1.0056818175</v>
      </c>
      <c r="D4" s="10">
        <v>0.14912041275000001</v>
      </c>
      <c r="E4" s="10">
        <v>5.4417042824999998E-2</v>
      </c>
      <c r="F4" s="10">
        <v>0.34996123624999997</v>
      </c>
      <c r="G4" s="10">
        <v>0.15509984105000002</v>
      </c>
      <c r="H4" s="10">
        <v>0.10590607672500001</v>
      </c>
      <c r="I4" s="10">
        <v>1.13881940525E-2</v>
      </c>
      <c r="J4" s="10">
        <v>5.0465213674999992E-3</v>
      </c>
    </row>
    <row r="5" spans="1:10" x14ac:dyDescent="0.3">
      <c r="A5" s="2" t="s">
        <v>20</v>
      </c>
      <c r="B5" s="9">
        <v>2.2471910099999999</v>
      </c>
      <c r="C5" s="9">
        <v>1</v>
      </c>
      <c r="D5" s="9">
        <v>5.149898E-2</v>
      </c>
      <c r="E5" s="9">
        <v>-8.00967E-3</v>
      </c>
      <c r="F5" s="9">
        <v>0.21497943</v>
      </c>
      <c r="G5" s="9">
        <v>2.5136140000000001E-2</v>
      </c>
      <c r="H5" s="9">
        <v>5.992509E-2</v>
      </c>
      <c r="I5" s="9">
        <v>8.5921999999999995E-3</v>
      </c>
      <c r="J5" s="9">
        <v>2.5689799999999998E-3</v>
      </c>
    </row>
    <row r="6" spans="1:10" x14ac:dyDescent="0.3">
      <c r="A6" s="3" t="s">
        <v>21</v>
      </c>
      <c r="B6" s="11">
        <v>0.37777778000000001</v>
      </c>
      <c r="C6" s="11">
        <v>1</v>
      </c>
      <c r="D6" s="11">
        <v>2.434594E-2</v>
      </c>
      <c r="E6" s="11">
        <v>0.21885404999999999</v>
      </c>
      <c r="F6" s="11">
        <v>0.60975709</v>
      </c>
      <c r="G6" s="11">
        <v>8.4926760000000004E-2</v>
      </c>
      <c r="H6" s="11">
        <v>3.1481479999999999E-2</v>
      </c>
      <c r="I6" s="11">
        <v>1.6806720000000001E-2</v>
      </c>
      <c r="J6" s="11">
        <v>1.684331E-2</v>
      </c>
    </row>
    <row r="7" spans="1:10" x14ac:dyDescent="0.3">
      <c r="A7" s="3" t="s">
        <v>22</v>
      </c>
      <c r="B7" s="11">
        <v>5.0999999999999996</v>
      </c>
      <c r="C7" s="11">
        <v>5.1777777800000004</v>
      </c>
      <c r="D7" s="11">
        <v>0.15734698</v>
      </c>
      <c r="E7" s="11">
        <v>0.78258605999999997</v>
      </c>
      <c r="F7" s="11">
        <v>0.30049313999999999</v>
      </c>
      <c r="G7" s="11">
        <v>0.18332033</v>
      </c>
      <c r="H7" s="11">
        <v>8.3333329999999997E-2</v>
      </c>
      <c r="I7" s="11">
        <v>1.6619979999999999E-2</v>
      </c>
      <c r="J7" s="11">
        <v>1.694329E-2</v>
      </c>
    </row>
    <row r="8" spans="1:10" x14ac:dyDescent="0.3">
      <c r="A8" s="8" t="s">
        <v>22</v>
      </c>
      <c r="B8" s="12" t="s">
        <v>11</v>
      </c>
      <c r="C8" s="13" t="s">
        <v>12</v>
      </c>
      <c r="D8" s="12" t="s">
        <v>15</v>
      </c>
      <c r="E8" s="12" t="s">
        <v>11</v>
      </c>
      <c r="F8" s="12" t="s">
        <v>13</v>
      </c>
      <c r="G8" s="12" t="s">
        <v>11</v>
      </c>
      <c r="H8" s="12" t="s">
        <v>11</v>
      </c>
      <c r="I8" s="12" t="s">
        <v>11</v>
      </c>
      <c r="J8" s="12" t="s">
        <v>14</v>
      </c>
    </row>
    <row r="9" spans="1:10" x14ac:dyDescent="0.3">
      <c r="A9" s="2" t="s">
        <v>23</v>
      </c>
      <c r="B9" s="9">
        <v>2.1375000000000002</v>
      </c>
      <c r="C9" s="9">
        <v>1</v>
      </c>
      <c r="D9" s="9">
        <v>0.35493971000000002</v>
      </c>
      <c r="E9" s="9">
        <v>-1.6327850000000001E-2</v>
      </c>
      <c r="F9" s="9">
        <v>0.26392102000000001</v>
      </c>
      <c r="G9" s="9">
        <v>4.3965009999999999E-2</v>
      </c>
      <c r="H9" s="9">
        <v>7.9166669999999995E-2</v>
      </c>
      <c r="I9" s="9">
        <v>1.5441180000000001E-2</v>
      </c>
      <c r="J9" s="9">
        <v>2.9772050000000001E-2</v>
      </c>
    </row>
    <row r="10" spans="1:10" x14ac:dyDescent="0.3">
      <c r="A10" s="2" t="s">
        <v>24</v>
      </c>
      <c r="B10" s="9">
        <v>5.3289473699999999</v>
      </c>
      <c r="C10" s="9">
        <v>1</v>
      </c>
      <c r="D10" s="9">
        <v>0.14836970999999999</v>
      </c>
      <c r="E10" s="9">
        <v>0</v>
      </c>
      <c r="F10" s="9">
        <v>0.39617794000000001</v>
      </c>
      <c r="G10" s="9">
        <v>3.054743E-2</v>
      </c>
      <c r="H10" s="9">
        <v>0.10526315999999999</v>
      </c>
      <c r="I10" s="9">
        <v>1.4705879999999999E-2</v>
      </c>
      <c r="J10" s="9">
        <v>6.0799900000000004E-3</v>
      </c>
    </row>
    <row r="11" spans="1:10" x14ac:dyDescent="0.3">
      <c r="A11" s="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3">
      <c r="A12" s="1" t="s">
        <v>5</v>
      </c>
      <c r="B12" s="9">
        <f>_xlfn.STDEV.P(Table1[PeakCount])/AVERAGE(Table1[PeakCount])</f>
        <v>0.47444745583990805</v>
      </c>
      <c r="C12" s="9">
        <f>_xlfn.STDEV.P(Table1[DomFreq (FFT)])/AVERAGE(Table1[DomFreq (FFT)])</f>
        <v>0.90706777010172457</v>
      </c>
      <c r="D12" s="9">
        <f>_xlfn.STDEV.P(Table1[EnergyRatio (DWT)])/AVERAGE(Table1[EnergyRatio (DWT)])</f>
        <v>0.63077675048805737</v>
      </c>
      <c r="E12" s="9">
        <f>_xlfn.STDEV.P(Table1[SpecEntropy (FFT)])/AVERAGE(Table1[SpecEntropy (FFT)])</f>
        <v>1.4608569857551343</v>
      </c>
      <c r="F12" s="9">
        <f>_xlfn.STDEV.P(Table1[AC1thPeakAmp])/AVERAGE(Table1[AC1thPeakAmp])</f>
        <v>0.39142086109751745</v>
      </c>
      <c r="G12" s="9">
        <f>_xlfn.STDEV.P(Table1[SectVar])/AVERAGE(Table1[SectVar])</f>
        <v>0.65899576868191456</v>
      </c>
      <c r="H12" s="9">
        <f>_xlfn.STDEV.P(Table1[TransOscInt])/AVERAGE(Table1[TransOscInt])</f>
        <v>0.29678913087743097</v>
      </c>
      <c r="I12" s="9">
        <f>_xlfn.STDEV.P(Table1[ZCR])/AVERAGE(Table1[ZCR])</f>
        <v>0.19581764192133441</v>
      </c>
      <c r="J12" s="9">
        <f>_xlfn.STDEV.P(Table1[NormSpecCent])/AVERAGE(Table1[NormSpecCent])</f>
        <v>0.62579637472769267</v>
      </c>
    </row>
    <row r="13" spans="1:10" x14ac:dyDescent="0.3">
      <c r="A13" s="1" t="s">
        <v>6</v>
      </c>
      <c r="B13" s="15">
        <f>_xlfn.STDEV.P(Table1[PeakCount])</f>
        <v>1.5377678890503161</v>
      </c>
      <c r="C13" s="15">
        <f>_xlfn.STDEV.P(Table1[DomFreq (FFT)])</f>
        <v>1.3814029411535975</v>
      </c>
      <c r="D13" s="15">
        <f>_xlfn.STDEV.P(Table1[EnergyRatio (DWT)])</f>
        <v>0.1186896517362126</v>
      </c>
      <c r="E13" s="15">
        <f>_xlfn.STDEV.P(Table1[SpecEntropy (FFT)])</f>
        <v>0.24686391346251807</v>
      </c>
      <c r="F13" s="15">
        <f>_xlfn.STDEV.P(Table1[AC1thPeakAmp])</f>
        <v>0.1258002827773238</v>
      </c>
      <c r="G13" s="15">
        <f>_xlfn.STDEV.P(Table1[SectVar])</f>
        <v>5.4626299441295885E-2</v>
      </c>
      <c r="H13" s="15">
        <f>_xlfn.STDEV.P(Table1[TransOscInt])</f>
        <v>2.4747498156362877E-2</v>
      </c>
      <c r="I13" s="15">
        <f>_xlfn.STDEV.P(Table1[ZCR])</f>
        <v>2.8679352471195898E-3</v>
      </c>
      <c r="J13" s="15">
        <f>_xlfn.STDEV.P(Table1[NormSpecCent])</f>
        <v>9.2032549357681705E-3</v>
      </c>
    </row>
    <row r="14" spans="1:10" x14ac:dyDescent="0.3">
      <c r="A14" s="6" t="s">
        <v>7</v>
      </c>
      <c r="B14" s="16">
        <f>AVERAGE(Table1[PeakCount])</f>
        <v>3.2411763834374998</v>
      </c>
      <c r="C14" s="16">
        <f>AVERAGE(Table1[DomFreq (FFT)])</f>
        <v>1.5229324496875001</v>
      </c>
      <c r="D14" s="16">
        <f>AVERAGE(Table1[EnergyRatio (DWT)])</f>
        <v>0.18816427784375001</v>
      </c>
      <c r="E14" s="16">
        <f>AVERAGE(Table1[SpecEntropy (FFT)])</f>
        <v>0.16898568160312502</v>
      </c>
      <c r="F14" s="16">
        <f>AVERAGE(Table1[AC1thPeakAmp])</f>
        <v>0.32139391453124999</v>
      </c>
      <c r="G14" s="16">
        <f>AVERAGE(Table1[SectVar])</f>
        <v>8.289324763125E-2</v>
      </c>
      <c r="H14" s="16">
        <f>AVERAGE(Table1[TransOscInt])</f>
        <v>8.3384112090625004E-2</v>
      </c>
      <c r="I14" s="16">
        <f>AVERAGE(Table1[ZCR])</f>
        <v>1.4645949256562502E-2</v>
      </c>
      <c r="J14" s="16">
        <f>AVERAGE(Table1[NormSpecCent])</f>
        <v>1.47064689209375E-2</v>
      </c>
    </row>
    <row r="15" spans="1:10" x14ac:dyDescent="0.3">
      <c r="A15" s="7"/>
      <c r="B15" s="17"/>
      <c r="C15" s="17"/>
      <c r="D15" s="17"/>
      <c r="E15" s="17"/>
      <c r="F15" s="17"/>
      <c r="G15" s="17"/>
      <c r="H15" s="17"/>
      <c r="I15" s="17"/>
      <c r="J15" s="17"/>
    </row>
    <row r="16" spans="1:10" x14ac:dyDescent="0.3">
      <c r="A16" s="5" t="s">
        <v>8</v>
      </c>
      <c r="B16" s="18">
        <f>MAX(Table1[PeakCount])</f>
        <v>5.3289473699999999</v>
      </c>
      <c r="C16" s="18">
        <f>MAX(Table1[DomFreq (FFT)])</f>
        <v>5.1777777800000004</v>
      </c>
      <c r="D16" s="18">
        <f>MAX(Table1[EnergyRatio (DWT)])</f>
        <v>0.36322803999999997</v>
      </c>
      <c r="E16" s="18">
        <f>MAX(Table1[SpecEntropy (FFT)])</f>
        <v>0.78258605999999997</v>
      </c>
      <c r="F16" s="18">
        <f>MAX(Table1[AC1thPeakAmp])</f>
        <v>0.60975709</v>
      </c>
      <c r="G16" s="18">
        <f>MAX(Table1[SectVar])</f>
        <v>0.18332033</v>
      </c>
      <c r="H16" s="18">
        <f>MAX(Table1[TransOscInt])</f>
        <v>0.10590607672500001</v>
      </c>
      <c r="I16" s="18">
        <f>MAX(Table1[ZCR])</f>
        <v>1.6806720000000001E-2</v>
      </c>
      <c r="J16" s="18">
        <f>MAX(Table1[NormSpecCent])</f>
        <v>2.9772050000000001E-2</v>
      </c>
    </row>
    <row r="17" spans="1:10" x14ac:dyDescent="0.3">
      <c r="A17" s="1" t="s">
        <v>9</v>
      </c>
      <c r="B17" s="9">
        <f>MIN(Table1[PeakCount])</f>
        <v>0.37777778000000001</v>
      </c>
      <c r="C17" s="9">
        <f>MIN(Table1[DomFreq (FFT)])</f>
        <v>1</v>
      </c>
      <c r="D17" s="9">
        <f>MIN(Table1[EnergyRatio (DWT)])</f>
        <v>2.434594E-2</v>
      </c>
      <c r="E17" s="9">
        <f>MIN(Table1[SpecEntropy (FFT)])</f>
        <v>-1.6327850000000001E-2</v>
      </c>
      <c r="F17" s="9">
        <f>MIN(Table1[AC1thPeakAmp])</f>
        <v>0.20104366000000001</v>
      </c>
      <c r="G17" s="9">
        <f>MIN(Table1[SectVar])</f>
        <v>2.5136140000000001E-2</v>
      </c>
      <c r="H17" s="9">
        <f>MIN(Table1[TransOscInt])</f>
        <v>3.1481479999999999E-2</v>
      </c>
      <c r="I17" s="9">
        <f>MIN(Table1[ZCR])</f>
        <v>8.5921999999999995E-3</v>
      </c>
      <c r="J17" s="9">
        <f>MIN(Table1[NormSpecCent])</f>
        <v>2.5689799999999998E-3</v>
      </c>
    </row>
  </sheetData>
  <phoneticPr fontId="3" type="noConversion"/>
  <conditionalFormatting sqref="B2:J7 B8 D8 F8 J8 B9:J11">
    <cfRule type="cellIs" dxfId="7" priority="5" operator="equal">
      <formula>B$17</formula>
    </cfRule>
    <cfRule type="cellIs" dxfId="6" priority="6" operator="equal">
      <formula>B$16</formula>
    </cfRule>
  </conditionalFormatting>
  <conditionalFormatting sqref="C8">
    <cfRule type="cellIs" dxfId="5" priority="11" operator="equal">
      <formula>B$17</formula>
    </cfRule>
    <cfRule type="cellIs" dxfId="4" priority="12" operator="equal">
      <formula>B$16</formula>
    </cfRule>
  </conditionalFormatting>
  <conditionalFormatting sqref="E8">
    <cfRule type="cellIs" dxfId="3" priority="3" operator="equal">
      <formula>E$17</formula>
    </cfRule>
    <cfRule type="cellIs" dxfId="2" priority="4" operator="equal">
      <formula>E$16</formula>
    </cfRule>
  </conditionalFormatting>
  <conditionalFormatting sqref="G8:I8">
    <cfRule type="cellIs" dxfId="1" priority="1" operator="equal">
      <formula>G$17</formula>
    </cfRule>
    <cfRule type="cellIs" dxfId="0" priority="2" operator="equal">
      <formula>G$16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Kayra Şener</dc:creator>
  <cp:lastModifiedBy>Kayra Şener</cp:lastModifiedBy>
  <dcterms:created xsi:type="dcterms:W3CDTF">2025-03-05T08:52:18Z</dcterms:created>
  <dcterms:modified xsi:type="dcterms:W3CDTF">2025-06-04T06:16:01Z</dcterms:modified>
</cp:coreProperties>
</file>
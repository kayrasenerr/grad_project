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ra\Desktop\Okul\4-2\proje\Bitirme Projesi\"/>
    </mc:Choice>
  </mc:AlternateContent>
  <xr:revisionPtr revIDLastSave="0" documentId="13_ncr:1_{CC8FE82A-3C5D-49B4-9AC0-4FF024A0EDF2}" xr6:coauthVersionLast="47" xr6:coauthVersionMax="47" xr10:uidLastSave="{00000000-0000-0000-0000-000000000000}"/>
  <bookViews>
    <workbookView xWindow="-108" yWindow="-108" windowWidth="23256" windowHeight="12456" xr2:uid="{1E1041C3-89AC-4BBA-BA1A-2AD304957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C17" i="1"/>
  <c r="D17" i="1"/>
  <c r="E17" i="1"/>
  <c r="F17" i="1"/>
  <c r="G17" i="1"/>
  <c r="H17" i="1"/>
  <c r="I17" i="1"/>
  <c r="J17" i="1"/>
  <c r="B17" i="1"/>
  <c r="C16" i="1"/>
  <c r="D16" i="1"/>
  <c r="E16" i="1"/>
  <c r="F16" i="1"/>
  <c r="G16" i="1"/>
  <c r="H16" i="1"/>
  <c r="I16" i="1"/>
  <c r="J16" i="1"/>
  <c r="B16" i="1"/>
  <c r="C15" i="1"/>
  <c r="D15" i="1"/>
  <c r="E15" i="1"/>
  <c r="F15" i="1"/>
  <c r="G15" i="1"/>
  <c r="H15" i="1"/>
  <c r="I15" i="1"/>
  <c r="J15" i="1"/>
  <c r="B15" i="1"/>
</calcChain>
</file>

<file path=xl/sharedStrings.xml><?xml version="1.0" encoding="utf-8"?>
<sst xmlns="http://schemas.openxmlformats.org/spreadsheetml/2006/main" count="36" uniqueCount="31">
  <si>
    <t>d1peg-51</t>
  </si>
  <si>
    <t>d2peg-51</t>
  </si>
  <si>
    <t>gr1da-51</t>
  </si>
  <si>
    <t>gr2da-51</t>
  </si>
  <si>
    <t>gr2db-51</t>
  </si>
  <si>
    <t>nexgr-51</t>
  </si>
  <si>
    <t>oscct-51</t>
  </si>
  <si>
    <t>oscxx-51</t>
  </si>
  <si>
    <t>pexgr-51</t>
  </si>
  <si>
    <t>ssghr-51</t>
  </si>
  <si>
    <t>Column1</t>
  </si>
  <si>
    <t>PeakCount</t>
  </si>
  <si>
    <t>DomFreq</t>
  </si>
  <si>
    <t>EnergyRatio</t>
  </si>
  <si>
    <t>SpecEntropy</t>
  </si>
  <si>
    <t>SectVar</t>
  </si>
  <si>
    <t>ZCR</t>
  </si>
  <si>
    <t>NormSpecCent</t>
  </si>
  <si>
    <t>AC1thPeakAmp</t>
  </si>
  <si>
    <t>Coef of Var</t>
  </si>
  <si>
    <t>STD</t>
  </si>
  <si>
    <t>Mean</t>
  </si>
  <si>
    <t>Max</t>
  </si>
  <si>
    <t>Min</t>
  </si>
  <si>
    <t>TransOscInt</t>
  </si>
  <si>
    <t>0/90</t>
  </si>
  <si>
    <t>78/90</t>
  </si>
  <si>
    <t>90/90</t>
  </si>
  <si>
    <t>90/90 wn</t>
  </si>
  <si>
    <t>58/90 wn</t>
  </si>
  <si>
    <t>oscxx-51 k-2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</si>
</sst>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0" fillId="0" borderId="0" xfId="0" applyAlignment="1">
      <alignment horizontal="left"/>
    </xf>
    <xf numFmtId="0" fontId="2" fillId="0" borderId="1" xfId="0" applyFont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6" borderId="1" xfId="0" applyNumberFormat="1" applyFill="1" applyBorder="1" applyAlignment="1">
      <alignment horizontal="left"/>
    </xf>
    <xf numFmtId="0" fontId="0" fillId="6" borderId="5" xfId="0" applyNumberFormat="1" applyFill="1" applyBorder="1" applyAlignment="1">
      <alignment horizontal="left"/>
    </xf>
  </cellXfs>
  <cellStyles count="1">
    <cellStyle name="Normal" xfId="0" builtinId="0"/>
  </cellStyles>
  <dxfs count="33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3EAAF-5CE1-4055-B99F-56CDECDFFAA7}" name="Table1" displayName="Table1" ref="A1:J15" totalsRowCount="1" headerRowDxfId="32" totalsRowDxfId="31" totalsRowBorderDxfId="30">
  <autoFilter ref="A1:J14" xr:uid="{0443EAAF-5CE1-4055-B99F-56CDECDFFAA7}"/>
  <tableColumns count="10">
    <tableColumn id="1" xr3:uid="{7B58D8B9-22DB-416C-B54F-401F4018A832}" name="Column1" totalsRowLabel="Coef of Var" dataDxfId="29" totalsRowDxfId="9"/>
    <tableColumn id="2" xr3:uid="{B048CCD5-8DDE-40E7-B6DA-1DF049480AEC}" name="PeakCount" totalsRowFunction="custom" dataDxfId="28" totalsRowDxfId="8">
      <totalsRowFormula>_xlfn.STDEV.P(Table1[PeakCount])/AVERAGE(Table1[PeakCount])</totalsRowFormula>
    </tableColumn>
    <tableColumn id="3" xr3:uid="{C1614CEE-C345-4803-BCBE-6041B7908DF7}" name="DomFreq" totalsRowFunction="custom" dataDxfId="27" totalsRowDxfId="7">
      <totalsRowFormula>_xlfn.STDEV.P(Table1[DomFreq])/AVERAGE(Table1[DomFreq])</totalsRowFormula>
    </tableColumn>
    <tableColumn id="4" xr3:uid="{195AC1D4-0E7B-467B-815B-02C4BDFAB046}" name="EnergyRatio" totalsRowFunction="custom" dataDxfId="26" totalsRowDxfId="6">
      <totalsRowFormula>_xlfn.STDEV.P(Table1[EnergyRatio])/AVERAGE(Table1[EnergyRatio])</totalsRowFormula>
    </tableColumn>
    <tableColumn id="5" xr3:uid="{A95FC6B9-A728-4677-975C-D9271748BEDF}" name="SpecEntropy" totalsRowFunction="custom" dataDxfId="25" totalsRowDxfId="5">
      <totalsRowFormula>_xlfn.STDEV.P(Table1[SpecEntropy])/AVERAGE(Table1[SpecEntropy])</totalsRowFormula>
    </tableColumn>
    <tableColumn id="6" xr3:uid="{54C92127-70B3-49AB-A389-624AC69DA222}" name="AC1thPeakAmp" totalsRowFunction="custom" dataDxfId="24" totalsRowDxfId="4">
      <totalsRowFormula>_xlfn.STDEV.P(Table1[AC1thPeakAmp])/AVERAGE(Table1[AC1thPeakAmp])</totalsRowFormula>
    </tableColumn>
    <tableColumn id="7" xr3:uid="{DA1D98B0-9895-459B-81CB-60382965D1AE}" name="SectVar" totalsRowFunction="custom" dataDxfId="23" totalsRowDxfId="3">
      <totalsRowFormula>_xlfn.STDEV.P(Table1[SectVar])/AVERAGE(Table1[SectVar])</totalsRowFormula>
    </tableColumn>
    <tableColumn id="8" xr3:uid="{27353694-65DE-415E-9648-747810D23845}" name="TransOscInt" totalsRowFunction="custom" dataDxfId="22" totalsRowDxfId="2">
      <totalsRowFormula>_xlfn.STDEV.P(Table1[TransOscInt])/AVERAGE(Table1[TransOscInt])</totalsRowFormula>
    </tableColumn>
    <tableColumn id="9" xr3:uid="{9F5486C8-2123-45D5-AC4E-A3809113B81B}" name="ZCR" totalsRowFunction="custom" dataDxfId="21" totalsRowDxfId="1">
      <totalsRowFormula>_xlfn.STDEV.P(Table1[ZCR])/AVERAGE(Table1[ZCR])</totalsRowFormula>
    </tableColumn>
    <tableColumn id="10" xr3:uid="{32D6BCD8-968B-4F2C-989D-7BF718221478}" name="NormSpecCent" totalsRowFunction="custom" dataDxfId="20" totalsRowDxfId="0">
      <totalsRowFormula>_xlfn.STDEV.P(Table1[NormSpecCent])/AVERAGE(Table1[NormSpecCent])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6F9B-3AA1-4134-A180-B1B15721205E}">
  <dimension ref="A1:J20"/>
  <sheetViews>
    <sheetView tabSelected="1" workbookViewId="0">
      <selection activeCell="I15" sqref="I15"/>
    </sheetView>
  </sheetViews>
  <sheetFormatPr defaultRowHeight="14.4" x14ac:dyDescent="0.3"/>
  <cols>
    <col min="1" max="1" width="14.44140625" bestFit="1" customWidth="1"/>
    <col min="2" max="2" width="12.21875" bestFit="1" customWidth="1"/>
    <col min="3" max="3" width="12" bestFit="1" customWidth="1"/>
    <col min="4" max="4" width="13" bestFit="1" customWidth="1"/>
    <col min="5" max="5" width="13.77734375" bestFit="1" customWidth="1"/>
    <col min="6" max="6" width="16.33203125" bestFit="1" customWidth="1"/>
    <col min="7" max="7" width="12" bestFit="1" customWidth="1"/>
    <col min="8" max="8" width="12" customWidth="1"/>
    <col min="9" max="9" width="12" bestFit="1" customWidth="1"/>
    <col min="10" max="10" width="16.109375" bestFit="1" customWidth="1"/>
  </cols>
  <sheetData>
    <row r="1" spans="1:10" x14ac:dyDescent="0.3">
      <c r="A1" s="1" t="s">
        <v>10</v>
      </c>
      <c r="B1" s="6" t="s">
        <v>11</v>
      </c>
      <c r="C1" s="14" t="s">
        <v>12</v>
      </c>
      <c r="D1" s="13" t="s">
        <v>13</v>
      </c>
      <c r="E1" s="6" t="s">
        <v>14</v>
      </c>
      <c r="F1" s="6" t="s">
        <v>18</v>
      </c>
      <c r="G1" s="4" t="s">
        <v>15</v>
      </c>
      <c r="H1" s="4" t="s">
        <v>24</v>
      </c>
      <c r="I1" s="4" t="s">
        <v>16</v>
      </c>
      <c r="J1" s="4" t="s">
        <v>17</v>
      </c>
    </row>
    <row r="2" spans="1:10" x14ac:dyDescent="0.3">
      <c r="A2" s="4" t="s">
        <v>0</v>
      </c>
      <c r="B2" s="2">
        <v>3.3882352899999999</v>
      </c>
      <c r="C2" s="2">
        <v>1</v>
      </c>
      <c r="D2" s="2">
        <v>0.36322803999999997</v>
      </c>
      <c r="E2" s="2">
        <v>0.13741797</v>
      </c>
      <c r="F2" s="2">
        <v>0.20104366000000001</v>
      </c>
      <c r="G2" s="2">
        <v>8.8085730000000001E-2</v>
      </c>
      <c r="H2" s="2">
        <v>9.7058820000000004E-2</v>
      </c>
      <c r="I2" s="2">
        <v>1.6806720000000001E-2</v>
      </c>
      <c r="J2" s="2">
        <v>2.5929299999999999E-2</v>
      </c>
    </row>
    <row r="3" spans="1:10" x14ac:dyDescent="0.3">
      <c r="A3" s="4" t="s">
        <v>1</v>
      </c>
      <c r="B3" s="2">
        <v>3.28703704</v>
      </c>
      <c r="C3" s="2">
        <v>1</v>
      </c>
      <c r="D3" s="2">
        <v>0.25646445000000001</v>
      </c>
      <c r="E3" s="2">
        <v>0.18294785</v>
      </c>
      <c r="F3" s="2">
        <v>0.23481779999999999</v>
      </c>
      <c r="G3" s="2">
        <v>5.2064739999999998E-2</v>
      </c>
      <c r="H3" s="2">
        <v>0.10493827</v>
      </c>
      <c r="I3" s="2">
        <v>1.6806720000000001E-2</v>
      </c>
      <c r="J3" s="2">
        <v>1.446831E-2</v>
      </c>
    </row>
    <row r="4" spans="1:10" x14ac:dyDescent="0.3">
      <c r="A4" s="4" t="s">
        <v>2</v>
      </c>
      <c r="B4" s="2">
        <v>4.7397260299999999</v>
      </c>
      <c r="C4" s="2">
        <v>1</v>
      </c>
      <c r="D4" s="2">
        <v>0.17751564</v>
      </c>
      <c r="E4" s="2">
        <v>1.8706549999999999E-2</v>
      </c>
      <c r="F4" s="2">
        <v>0.41292210000000001</v>
      </c>
      <c r="G4" s="2">
        <v>4.2191340000000001E-2</v>
      </c>
      <c r="H4" s="2">
        <v>0.11986301000000001</v>
      </c>
      <c r="I4" s="2">
        <v>1.335329E-2</v>
      </c>
      <c r="J4" s="2">
        <v>6.3079800000000004E-3</v>
      </c>
    </row>
    <row r="5" spans="1:10" x14ac:dyDescent="0.3">
      <c r="A5" s="4" t="s">
        <v>2</v>
      </c>
      <c r="B5" s="2">
        <v>3.27631579</v>
      </c>
      <c r="C5" s="2">
        <v>1</v>
      </c>
      <c r="D5" s="2">
        <v>0.10448215800000001</v>
      </c>
      <c r="E5" s="2">
        <v>6.9970300099999994E-2</v>
      </c>
      <c r="F5" s="2">
        <v>0.29823187699999998</v>
      </c>
      <c r="G5" s="2">
        <v>6.4876067199999998E-2</v>
      </c>
      <c r="H5" s="2">
        <v>9.1008771899999993E-2</v>
      </c>
      <c r="I5" s="2">
        <v>8.0716497099999999E-3</v>
      </c>
      <c r="J5" s="2">
        <v>3.05854613E-3</v>
      </c>
    </row>
    <row r="6" spans="1:10" x14ac:dyDescent="0.3">
      <c r="A6" s="4" t="s">
        <v>3</v>
      </c>
      <c r="B6" s="2">
        <v>3.7575757599999999</v>
      </c>
      <c r="C6" s="2">
        <v>1</v>
      </c>
      <c r="D6" s="2">
        <v>0.17911830000000001</v>
      </c>
      <c r="E6" s="2">
        <v>7.4490109999999998E-2</v>
      </c>
      <c r="F6" s="2">
        <v>0.38018871999999998</v>
      </c>
      <c r="G6" s="2">
        <v>0.25990052000000002</v>
      </c>
      <c r="H6" s="2">
        <v>0.10479798</v>
      </c>
      <c r="I6" s="2">
        <v>1.171378E-2</v>
      </c>
      <c r="J6" s="2">
        <v>6.4489899999999999E-3</v>
      </c>
    </row>
    <row r="7" spans="1:10" x14ac:dyDescent="0.3">
      <c r="A7" s="4" t="s">
        <v>4</v>
      </c>
      <c r="B7" s="2">
        <v>4.4772727300000001</v>
      </c>
      <c r="C7" s="2">
        <v>1.0227272700000001</v>
      </c>
      <c r="D7" s="2">
        <v>0.135365553</v>
      </c>
      <c r="E7" s="2">
        <v>5.4501211200000003E-2</v>
      </c>
      <c r="F7" s="2">
        <v>0.30850224799999998</v>
      </c>
      <c r="G7" s="2">
        <v>0.25343143699999998</v>
      </c>
      <c r="H7" s="2">
        <v>0.107954545</v>
      </c>
      <c r="I7" s="2">
        <v>1.2414056499999999E-2</v>
      </c>
      <c r="J7" s="2">
        <v>4.3705693399999999E-3</v>
      </c>
    </row>
    <row r="8" spans="1:10" x14ac:dyDescent="0.3">
      <c r="A8" s="4" t="s">
        <v>5</v>
      </c>
      <c r="B8" s="2">
        <v>2.2471910099999999</v>
      </c>
      <c r="C8" s="2">
        <v>1</v>
      </c>
      <c r="D8" s="2">
        <v>5.149898E-2</v>
      </c>
      <c r="E8" s="2">
        <v>-8.00967E-3</v>
      </c>
      <c r="F8" s="2">
        <v>0.21497943</v>
      </c>
      <c r="G8" s="2">
        <v>2.5136140000000001E-2</v>
      </c>
      <c r="H8" s="2">
        <v>5.992509E-2</v>
      </c>
      <c r="I8" s="2">
        <v>8.5921999999999995E-3</v>
      </c>
      <c r="J8" s="2">
        <v>2.5689799999999998E-3</v>
      </c>
    </row>
    <row r="9" spans="1:10" x14ac:dyDescent="0.3">
      <c r="A9" s="5" t="s">
        <v>6</v>
      </c>
      <c r="B9" s="3">
        <v>0.37777778000000001</v>
      </c>
      <c r="C9" s="3">
        <v>1</v>
      </c>
      <c r="D9" s="3">
        <v>2.434594E-2</v>
      </c>
      <c r="E9" s="3">
        <v>0.21885404999999999</v>
      </c>
      <c r="F9" s="3">
        <v>0.60975709</v>
      </c>
      <c r="G9" s="3">
        <v>8.4926760000000004E-2</v>
      </c>
      <c r="H9" s="3">
        <v>3.1481479999999999E-2</v>
      </c>
      <c r="I9" s="3">
        <v>1.6806720000000001E-2</v>
      </c>
      <c r="J9" s="3">
        <v>1.684331E-2</v>
      </c>
    </row>
    <row r="10" spans="1:10" x14ac:dyDescent="0.3">
      <c r="A10" s="5" t="s">
        <v>7</v>
      </c>
      <c r="B10" s="3">
        <v>5.0999999999999996</v>
      </c>
      <c r="C10" s="3">
        <v>5.1777777800000004</v>
      </c>
      <c r="D10" s="3">
        <v>0.15734698</v>
      </c>
      <c r="E10" s="3">
        <v>0.78258605999999997</v>
      </c>
      <c r="F10" s="3">
        <v>0.30049313999999999</v>
      </c>
      <c r="G10" s="3">
        <v>0.18332033</v>
      </c>
      <c r="H10" s="3">
        <v>8.3333329999999997E-2</v>
      </c>
      <c r="I10" s="3">
        <v>1.6619979999999999E-2</v>
      </c>
      <c r="J10" s="3">
        <v>1.694329E-2</v>
      </c>
    </row>
    <row r="11" spans="1:10" x14ac:dyDescent="0.3">
      <c r="A11" s="15" t="s">
        <v>30</v>
      </c>
      <c r="B11" s="16" t="s">
        <v>25</v>
      </c>
      <c r="C11" s="17" t="s">
        <v>26</v>
      </c>
      <c r="D11" s="16" t="s">
        <v>29</v>
      </c>
      <c r="E11" s="16" t="s">
        <v>25</v>
      </c>
      <c r="F11" s="16" t="s">
        <v>27</v>
      </c>
      <c r="G11" s="16" t="s">
        <v>25</v>
      </c>
      <c r="H11" s="16" t="s">
        <v>25</v>
      </c>
      <c r="I11" s="16" t="s">
        <v>25</v>
      </c>
      <c r="J11" s="16" t="s">
        <v>28</v>
      </c>
    </row>
    <row r="12" spans="1:10" x14ac:dyDescent="0.3">
      <c r="A12" s="4" t="s">
        <v>8</v>
      </c>
      <c r="B12" s="2">
        <v>2.1375000000000002</v>
      </c>
      <c r="C12" s="2">
        <v>1</v>
      </c>
      <c r="D12" s="2">
        <v>0.35493971000000002</v>
      </c>
      <c r="E12" s="2">
        <v>-1.6327850000000001E-2</v>
      </c>
      <c r="F12" s="2">
        <v>0.26392102000000001</v>
      </c>
      <c r="G12" s="2">
        <v>4.3965009999999999E-2</v>
      </c>
      <c r="H12" s="2">
        <v>7.9166669999999995E-2</v>
      </c>
      <c r="I12" s="2">
        <v>1.5441180000000001E-2</v>
      </c>
      <c r="J12" s="2">
        <v>2.9772050000000001E-2</v>
      </c>
    </row>
    <row r="13" spans="1:10" x14ac:dyDescent="0.3">
      <c r="A13" s="4" t="s">
        <v>9</v>
      </c>
      <c r="B13" s="2">
        <v>5.3289473699999999</v>
      </c>
      <c r="C13" s="2">
        <v>1</v>
      </c>
      <c r="D13" s="2">
        <v>0.14836970999999999</v>
      </c>
      <c r="E13" s="2">
        <v>0</v>
      </c>
      <c r="F13" s="2">
        <v>0.39617794000000001</v>
      </c>
      <c r="G13" s="2">
        <v>3.054743E-2</v>
      </c>
      <c r="H13" s="2">
        <v>0.10526315999999999</v>
      </c>
      <c r="I13" s="2">
        <v>1.4705879999999999E-2</v>
      </c>
      <c r="J13" s="2">
        <v>6.0799900000000004E-3</v>
      </c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3">
      <c r="A15" s="1" t="s">
        <v>19</v>
      </c>
      <c r="B15" s="1">
        <f>_xlfn.STDEV.P(Table1[PeakCount])/AVERAGE(Table1[PeakCount])</f>
        <v>0.4056229969560457</v>
      </c>
      <c r="C15" s="1">
        <f>_xlfn.STDEV.P(Table1[DomFreq])/AVERAGE(Table1[DomFreq])</f>
        <v>0.86867508298117901</v>
      </c>
      <c r="D15" s="1">
        <f>_xlfn.STDEV.P(Table1[EnergyRatio])/AVERAGE(Table1[EnergyRatio])</f>
        <v>0.58816240462424763</v>
      </c>
      <c r="E15" s="1">
        <f>_xlfn.STDEV.P(Table1[SpecEntropy])/AVERAGE(Table1[SpecEntropy])</f>
        <v>1.5756087305369251</v>
      </c>
      <c r="F15" s="1">
        <f>_xlfn.STDEV.P(Table1[AC1thPeakAmp])/AVERAGE(Table1[AC1thPeakAmp])</f>
        <v>0.33983304320920987</v>
      </c>
      <c r="G15" s="1">
        <f>_xlfn.STDEV.P(Table1[SectVar])/AVERAGE(Table1[SectVar])</f>
        <v>0.8144502378867795</v>
      </c>
      <c r="H15" s="1">
        <f>_xlfn.STDEV.P(Table1[TransOscInt])/AVERAGE(Table1[TransOscInt])</f>
        <v>0.27002401018177502</v>
      </c>
      <c r="I15" s="1">
        <f>_xlfn.STDEV.P(Table1[ZCR])/AVERAGE(Table1[ZCR])</f>
        <v>0.22454787716435021</v>
      </c>
      <c r="J15" s="1">
        <f>_xlfn.STDEV.P(Table1[NormSpecCent])/AVERAGE(Table1[NormSpecCent])</f>
        <v>0.74476125305058993</v>
      </c>
    </row>
    <row r="16" spans="1:10" x14ac:dyDescent="0.3">
      <c r="A16" s="1" t="s">
        <v>20</v>
      </c>
      <c r="B16" s="9">
        <f>_xlfn.STDEV.P(Table1[PeakCount])</f>
        <v>1.4055787772331119</v>
      </c>
      <c r="C16" s="9">
        <f>_xlfn.STDEV.P(Table1[DomFreq])</f>
        <v>1.2003909077876893</v>
      </c>
      <c r="D16" s="9">
        <f>_xlfn.STDEV.P(Table1[EnergyRatio])</f>
        <v>0.10440820859932012</v>
      </c>
      <c r="E16" s="9">
        <f>_xlfn.STDEV.P(Table1[SpecEntropy])</f>
        <v>0.21702385685928632</v>
      </c>
      <c r="F16" s="9">
        <f>_xlfn.STDEV.P(Table1[AC1thPeakAmp])</f>
        <v>0.11186794110117156</v>
      </c>
      <c r="G16" s="9">
        <f>_xlfn.STDEV.P(Table1[SectVar])</f>
        <v>8.3551155394359686E-2</v>
      </c>
      <c r="H16" s="9">
        <f>_xlfn.STDEV.P(Table1[TransOscInt])</f>
        <v>2.4174295388815208E-2</v>
      </c>
      <c r="I16" s="9">
        <f>_xlfn.STDEV.P(Table1[ZCR])</f>
        <v>3.0892108104197164E-3</v>
      </c>
      <c r="J16" s="9">
        <f>_xlfn.STDEV.P(Table1[NormSpecCent])</f>
        <v>8.9907115003339446E-3</v>
      </c>
    </row>
    <row r="17" spans="1:10" x14ac:dyDescent="0.3">
      <c r="A17" s="11" t="s">
        <v>21</v>
      </c>
      <c r="B17" s="11">
        <f>AVERAGE(Table1[PeakCount])</f>
        <v>3.465234436363636</v>
      </c>
      <c r="C17" s="11">
        <f>AVERAGE(Table1[DomFreq])</f>
        <v>1.3818640954545456</v>
      </c>
      <c r="D17" s="11">
        <f>AVERAGE(Table1[EnergyRatio])</f>
        <v>0.17751595100000001</v>
      </c>
      <c r="E17" s="11">
        <f>AVERAGE(Table1[SpecEntropy])</f>
        <v>0.13773968920909091</v>
      </c>
      <c r="F17" s="11">
        <f>AVERAGE(Table1[AC1thPeakAmp])</f>
        <v>0.32918500227272723</v>
      </c>
      <c r="G17" s="11">
        <f>AVERAGE(Table1[SectVar])</f>
        <v>0.1025859549272727</v>
      </c>
      <c r="H17" s="11">
        <f>AVERAGE(Table1[TransOscInt])</f>
        <v>8.9526466081818176E-2</v>
      </c>
      <c r="I17" s="11">
        <f>AVERAGE(Table1[ZCR])</f>
        <v>1.3757470564545455E-2</v>
      </c>
      <c r="J17" s="11">
        <f>AVERAGE(Table1[NormSpecCent])</f>
        <v>1.2071937770000001E-2</v>
      </c>
    </row>
    <row r="18" spans="1:10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0" t="s">
        <v>22</v>
      </c>
      <c r="B19" s="10">
        <f>MAX(Table1[PeakCount])</f>
        <v>5.3289473699999999</v>
      </c>
      <c r="C19" s="10">
        <f>MAX(Table1[DomFreq])</f>
        <v>5.1777777800000004</v>
      </c>
      <c r="D19" s="10">
        <f>MAX(Table1[EnergyRatio])</f>
        <v>0.36322803999999997</v>
      </c>
      <c r="E19" s="10">
        <f>MAX(Table1[SpecEntropy])</f>
        <v>0.78258605999999997</v>
      </c>
      <c r="F19" s="10">
        <f>MAX(Table1[AC1thPeakAmp])</f>
        <v>0.60975709</v>
      </c>
      <c r="G19" s="10">
        <f>MAX(Table1[SectVar])</f>
        <v>0.25990052000000002</v>
      </c>
      <c r="H19" s="10">
        <f>MAX(Table1[TransOscInt])</f>
        <v>0.11986301000000001</v>
      </c>
      <c r="I19" s="10">
        <f>MAX(Table1[ZCR])</f>
        <v>1.6806720000000001E-2</v>
      </c>
      <c r="J19" s="10">
        <f>MAX(Table1[NormSpecCent])</f>
        <v>2.9772050000000001E-2</v>
      </c>
    </row>
    <row r="20" spans="1:10" x14ac:dyDescent="0.3">
      <c r="A20" s="1" t="s">
        <v>23</v>
      </c>
      <c r="B20" s="1">
        <f>MIN(Table1[PeakCount])</f>
        <v>0.37777778000000001</v>
      </c>
      <c r="C20" s="1">
        <f>MIN(Table1[DomFreq])</f>
        <v>1</v>
      </c>
      <c r="D20" s="1">
        <f>MIN(Table1[EnergyRatio])</f>
        <v>2.434594E-2</v>
      </c>
      <c r="E20" s="1">
        <f>MIN(Table1[SpecEntropy])</f>
        <v>-1.6327850000000001E-2</v>
      </c>
      <c r="F20" s="1">
        <f>MIN(Table1[AC1thPeakAmp])</f>
        <v>0.20104366000000001</v>
      </c>
      <c r="G20" s="1">
        <f>MIN(Table1[SectVar])</f>
        <v>2.5136140000000001E-2</v>
      </c>
      <c r="H20" s="1">
        <f>MIN(Table1[TransOscInt])</f>
        <v>3.1481479999999999E-2</v>
      </c>
      <c r="I20" s="1">
        <f>MIN(Table1[ZCR])</f>
        <v>8.0716497099999999E-3</v>
      </c>
      <c r="J20" s="1">
        <f>MIN(Table1[NormSpecCent])</f>
        <v>2.5689799999999998E-3</v>
      </c>
    </row>
  </sheetData>
  <conditionalFormatting sqref="B2:J10 B12:J14 D11 F11 J11">
    <cfRule type="cellIs" dxfId="19" priority="7" operator="equal">
      <formula>B$20</formula>
    </cfRule>
    <cfRule type="cellIs" dxfId="18" priority="8" operator="equal">
      <formula>B$19</formula>
    </cfRule>
  </conditionalFormatting>
  <conditionalFormatting sqref="C11">
    <cfRule type="cellIs" dxfId="17" priority="11" operator="equal">
      <formula>B$20</formula>
    </cfRule>
    <cfRule type="cellIs" dxfId="16" priority="12" operator="equal">
      <formula>B$19</formula>
    </cfRule>
  </conditionalFormatting>
  <conditionalFormatting sqref="B11">
    <cfRule type="cellIs" dxfId="15" priority="5" operator="equal">
      <formula>B$20</formula>
    </cfRule>
    <cfRule type="cellIs" dxfId="14" priority="6" operator="equal">
      <formula>B$19</formula>
    </cfRule>
  </conditionalFormatting>
  <conditionalFormatting sqref="E11">
    <cfRule type="cellIs" dxfId="13" priority="3" operator="equal">
      <formula>E$20</formula>
    </cfRule>
    <cfRule type="cellIs" dxfId="12" priority="4" operator="equal">
      <formula>E$19</formula>
    </cfRule>
  </conditionalFormatting>
  <conditionalFormatting sqref="G11:I11">
    <cfRule type="cellIs" dxfId="11" priority="1" operator="equal">
      <formula>G$20</formula>
    </cfRule>
    <cfRule type="cellIs" dxfId="10" priority="2" operator="equal">
      <formula>G$19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Kayra Şener</dc:creator>
  <cp:lastModifiedBy>Kayra Şener</cp:lastModifiedBy>
  <dcterms:created xsi:type="dcterms:W3CDTF">2025-03-05T08:52:18Z</dcterms:created>
  <dcterms:modified xsi:type="dcterms:W3CDTF">2025-03-07T12:04:06Z</dcterms:modified>
</cp:coreProperties>
</file>